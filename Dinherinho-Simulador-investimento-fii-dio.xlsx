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\Documents\DIO -EXCELL\"/>
    </mc:Choice>
  </mc:AlternateContent>
  <xr:revisionPtr revIDLastSave="0" documentId="8_{34856B99-92D8-447D-A2E5-AF47584D4872}" xr6:coauthVersionLast="47" xr6:coauthVersionMax="47" xr10:uidLastSave="{00000000-0000-0000-0000-000000000000}"/>
  <bookViews>
    <workbookView xWindow="-120" yWindow="-120" windowWidth="20640" windowHeight="11160" xr2:uid="{84EC4C9C-7687-41A3-9059-EB3F85835DD0}"/>
  </bookViews>
  <sheets>
    <sheet name="carteira_fii" sheetId="1" r:id="rId1"/>
    <sheet name="Apoio" sheetId="2" r:id="rId2"/>
  </sheets>
  <definedNames>
    <definedName name="Aporte">carteira_fii!$D$17</definedName>
    <definedName name="patrimonio">carteira_fii!$D$20</definedName>
    <definedName name="Qtd_anos">carteira_fii!$D$18</definedName>
    <definedName name="Rendimento_carteira">carteira_fii!$D$13</definedName>
    <definedName name="Salário">carteira_fii!$D$12</definedName>
    <definedName name="sugestao_investimento">carteira_fii!$D$14</definedName>
    <definedName name="taxa_mensal">carteira_fii!$D$19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7" i="1" l="1"/>
  <c r="D37" i="1" s="1"/>
  <c r="C38" i="1"/>
  <c r="C39" i="1"/>
  <c r="D39" i="1" s="1"/>
  <c r="C40" i="1"/>
  <c r="D40" i="1" s="1"/>
  <c r="C41" i="1"/>
  <c r="D41" i="1" s="1"/>
  <c r="C36" i="1"/>
  <c r="D36" i="1" s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D38" i="1"/>
  <c r="D14" i="1"/>
  <c r="D20" i="1"/>
  <c r="D21" i="1" s="1"/>
  <c r="C25" i="1"/>
  <c r="D25" i="1" s="1"/>
  <c r="C26" i="1"/>
  <c r="D26" i="1" s="1"/>
  <c r="C27" i="1"/>
  <c r="D27" i="1" s="1"/>
  <c r="C28" i="1"/>
  <c r="D28" i="1" s="1"/>
  <c r="C24" i="1"/>
  <c r="D24" i="1" s="1"/>
  <c r="D42" i="1" l="1"/>
</calcChain>
</file>

<file path=xl/sharedStrings.xml><?xml version="1.0" encoding="utf-8"?>
<sst xmlns="http://schemas.openxmlformats.org/spreadsheetml/2006/main" count="71" uniqueCount="34">
  <si>
    <t>Por quantos anos?</t>
  </si>
  <si>
    <t>INVESTIMENTO MENSAL</t>
  </si>
  <si>
    <t>Taxa de rendimento mensal?</t>
  </si>
  <si>
    <t>Patrimonio acumulado?</t>
  </si>
  <si>
    <t>Dividendos mensais?</t>
  </si>
  <si>
    <t>Quanto em 30 anos?</t>
  </si>
  <si>
    <t>Quanto em 20 anos?</t>
  </si>
  <si>
    <t>Quanto em 10 anos?</t>
  </si>
  <si>
    <t>Quanto em 5 anos?</t>
  </si>
  <si>
    <t>Quanto em 2 anos?</t>
  </si>
  <si>
    <t>Cenários</t>
  </si>
  <si>
    <t>Dividendo</t>
  </si>
  <si>
    <t>Rendimento carteira</t>
  </si>
  <si>
    <t>Salário</t>
  </si>
  <si>
    <t>CONFIGURAÇÕES</t>
  </si>
  <si>
    <t>Agressivo</t>
  </si>
  <si>
    <t>PERFIL</t>
  </si>
  <si>
    <t>TIPO DE FII</t>
  </si>
  <si>
    <t>Porcentual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</si>
  <si>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</si>
  <si>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</si>
  <si>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</si>
  <si>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</si>
  <si>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</si>
  <si>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</si>
  <si>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</si>
  <si>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Conservador</t>
  </si>
  <si>
    <t>%</t>
  </si>
  <si>
    <t>CHAVE</t>
  </si>
  <si>
    <t>Moderado</t>
  </si>
  <si>
    <t>Moderado-TIJOLO</t>
  </si>
  <si>
    <t>Sugestão de investimento (30%)</t>
  </si>
  <si>
    <t>Quanto investir por mês?</t>
  </si>
  <si>
    <t>VALOR A SER INVERTIDO POR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</si>
</sst>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[$R$-416]\ #,##0.00"/>
    <numFmt numFmtId="171" formatCode="[$R$-416]\ #,##0.00;[Red]\-[$R$-416]\ 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3"/>
      <color theme="0"/>
      <name val="Segoe UI"/>
      <family val="2"/>
    </font>
    <font>
      <sz val="13"/>
      <color theme="0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3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2" tint="-9.9948118533890809E-2"/>
      </bottom>
      <diagonal/>
    </border>
    <border>
      <left style="medium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indexed="64"/>
      </right>
      <top/>
      <bottom style="thin">
        <color theme="0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2" tint="-9.9948118533890809E-2"/>
      </top>
      <bottom style="thin">
        <color theme="0" tint="-0.2499465926084170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/>
    </xf>
    <xf numFmtId="0" fontId="4" fillId="0" borderId="0" xfId="0" applyFont="1"/>
    <xf numFmtId="0" fontId="9" fillId="0" borderId="0" xfId="0" applyFont="1" applyFill="1" applyAlignment="1">
      <alignment vertical="center"/>
    </xf>
    <xf numFmtId="171" fontId="0" fillId="5" borderId="5" xfId="0" applyNumberFormat="1" applyFill="1" applyBorder="1" applyAlignment="1">
      <alignment horizontal="center" vertical="center"/>
    </xf>
    <xf numFmtId="171" fontId="0" fillId="5" borderId="6" xfId="0" applyNumberFormat="1" applyFill="1" applyBorder="1" applyAlignment="1">
      <alignment horizontal="center" vertical="center"/>
    </xf>
    <xf numFmtId="171" fontId="0" fillId="5" borderId="8" xfId="0" applyNumberFormat="1" applyFill="1" applyBorder="1" applyAlignment="1">
      <alignment horizontal="center" vertical="center"/>
    </xf>
    <xf numFmtId="171" fontId="0" fillId="5" borderId="9" xfId="0" applyNumberFormat="1" applyFill="1" applyBorder="1" applyAlignment="1">
      <alignment horizontal="center" vertical="center"/>
    </xf>
    <xf numFmtId="0" fontId="0" fillId="0" borderId="0" xfId="0" applyAlignment="1">
      <alignment horizontal="left" indent="3"/>
    </xf>
    <xf numFmtId="0" fontId="0" fillId="5" borderId="4" xfId="0" applyFill="1" applyBorder="1" applyAlignment="1">
      <alignment horizontal="left" indent="3"/>
    </xf>
    <xf numFmtId="0" fontId="0" fillId="5" borderId="7" xfId="0" applyFill="1" applyBorder="1" applyAlignment="1">
      <alignment horizontal="left" indent="3"/>
    </xf>
    <xf numFmtId="0" fontId="0" fillId="3" borderId="11" xfId="0" applyFill="1" applyBorder="1" applyAlignment="1">
      <alignment horizontal="left" indent="3"/>
    </xf>
    <xf numFmtId="171" fontId="0" fillId="3" borderId="12" xfId="0" applyNumberFormat="1" applyFill="1" applyBorder="1" applyAlignment="1">
      <alignment horizontal="center" vertical="center"/>
    </xf>
    <xf numFmtId="171" fontId="0" fillId="3" borderId="13" xfId="0" applyNumberFormat="1" applyFill="1" applyBorder="1" applyAlignment="1">
      <alignment horizontal="center" vertical="center"/>
    </xf>
    <xf numFmtId="0" fontId="7" fillId="6" borderId="14" xfId="0" applyFont="1" applyFill="1" applyBorder="1" applyAlignment="1">
      <alignment horizontal="left" indent="3"/>
    </xf>
    <xf numFmtId="0" fontId="7" fillId="6" borderId="15" xfId="0" applyFont="1" applyFill="1" applyBorder="1" applyAlignment="1">
      <alignment horizontal="left" indent="3"/>
    </xf>
    <xf numFmtId="170" fontId="8" fillId="0" borderId="16" xfId="0" applyNumberFormat="1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left" indent="3"/>
    </xf>
    <xf numFmtId="0" fontId="7" fillId="6" borderId="18" xfId="0" applyFont="1" applyFill="1" applyBorder="1" applyAlignment="1">
      <alignment horizontal="left" indent="3"/>
    </xf>
    <xf numFmtId="0" fontId="8" fillId="0" borderId="19" xfId="0" applyFont="1" applyFill="1" applyBorder="1" applyAlignment="1">
      <alignment horizontal="center"/>
    </xf>
    <xf numFmtId="10" fontId="8" fillId="0" borderId="19" xfId="0" applyNumberFormat="1" applyFont="1" applyFill="1" applyBorder="1" applyAlignment="1">
      <alignment horizontal="center"/>
    </xf>
    <xf numFmtId="0" fontId="8" fillId="5" borderId="17" xfId="0" applyFont="1" applyFill="1" applyBorder="1" applyAlignment="1">
      <alignment horizontal="left" indent="3"/>
    </xf>
    <xf numFmtId="0" fontId="8" fillId="5" borderId="18" xfId="0" applyFont="1" applyFill="1" applyBorder="1" applyAlignment="1">
      <alignment horizontal="left" indent="3"/>
    </xf>
    <xf numFmtId="170" fontId="7" fillId="5" borderId="19" xfId="0" applyNumberFormat="1" applyFont="1" applyFill="1" applyBorder="1" applyAlignment="1">
      <alignment horizontal="center"/>
    </xf>
    <xf numFmtId="0" fontId="8" fillId="5" borderId="20" xfId="0" applyFont="1" applyFill="1" applyBorder="1" applyAlignment="1">
      <alignment horizontal="left" indent="3"/>
    </xf>
    <xf numFmtId="0" fontId="8" fillId="5" borderId="21" xfId="0" applyFont="1" applyFill="1" applyBorder="1" applyAlignment="1">
      <alignment horizontal="left" indent="3"/>
    </xf>
    <xf numFmtId="170" fontId="7" fillId="5" borderId="22" xfId="0" applyNumberFormat="1" applyFont="1" applyFill="1" applyBorder="1" applyAlignment="1">
      <alignment horizontal="center"/>
    </xf>
    <xf numFmtId="0" fontId="0" fillId="6" borderId="14" xfId="0" applyFill="1" applyBorder="1" applyAlignment="1">
      <alignment horizontal="left" indent="3"/>
    </xf>
    <xf numFmtId="0" fontId="0" fillId="6" borderId="15" xfId="0" applyFill="1" applyBorder="1" applyAlignment="1">
      <alignment horizontal="left" indent="3"/>
    </xf>
    <xf numFmtId="170" fontId="0" fillId="0" borderId="23" xfId="0" applyNumberFormat="1" applyBorder="1" applyAlignment="1">
      <alignment horizontal="center" vertical="top"/>
    </xf>
    <xf numFmtId="0" fontId="0" fillId="6" borderId="17" xfId="0" applyFill="1" applyBorder="1" applyAlignment="1">
      <alignment horizontal="left" indent="3"/>
    </xf>
    <xf numFmtId="0" fontId="0" fillId="6" borderId="18" xfId="0" applyFill="1" applyBorder="1" applyAlignment="1">
      <alignment horizontal="left" indent="3"/>
    </xf>
    <xf numFmtId="10" fontId="0" fillId="0" borderId="19" xfId="0" applyNumberFormat="1" applyBorder="1" applyAlignment="1">
      <alignment horizontal="center" vertical="top"/>
    </xf>
    <xf numFmtId="0" fontId="0" fillId="6" borderId="20" xfId="0" applyFill="1" applyBorder="1" applyAlignment="1">
      <alignment horizontal="left" indent="3"/>
    </xf>
    <xf numFmtId="0" fontId="0" fillId="6" borderId="21" xfId="0" applyFill="1" applyBorder="1" applyAlignment="1">
      <alignment horizontal="left" indent="3"/>
    </xf>
    <xf numFmtId="170" fontId="0" fillId="6" borderId="22" xfId="0" applyNumberFormat="1" applyFill="1" applyBorder="1" applyAlignment="1">
      <alignment horizontal="center" vertical="top"/>
    </xf>
    <xf numFmtId="0" fontId="0" fillId="7" borderId="0" xfId="0" applyFill="1"/>
    <xf numFmtId="9" fontId="0" fillId="0" borderId="0" xfId="0" applyNumberFormat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0" fillId="4" borderId="0" xfId="0" applyFill="1"/>
    <xf numFmtId="170" fontId="3" fillId="4" borderId="0" xfId="0" applyNumberFormat="1" applyFont="1" applyFill="1" applyAlignment="1">
      <alignment horizontal="center"/>
    </xf>
    <xf numFmtId="0" fontId="3" fillId="6" borderId="0" xfId="0" applyFont="1" applyFill="1"/>
    <xf numFmtId="0" fontId="0" fillId="6" borderId="0" xfId="0" applyFill="1"/>
    <xf numFmtId="0" fontId="0" fillId="0" borderId="24" xfId="0" applyBorder="1"/>
    <xf numFmtId="9" fontId="0" fillId="0" borderId="24" xfId="0" applyNumberFormat="1" applyBorder="1" applyAlignment="1">
      <alignment horizontal="center"/>
    </xf>
    <xf numFmtId="9" fontId="0" fillId="7" borderId="0" xfId="1" applyFont="1" applyFill="1"/>
    <xf numFmtId="170" fontId="0" fillId="6" borderId="0" xfId="0" applyNumberFormat="1" applyFill="1" applyAlignment="1">
      <alignment horizontal="center" vertical="center"/>
    </xf>
    <xf numFmtId="170" fontId="3" fillId="6" borderId="0" xfId="0" applyNumberFormat="1" applyFont="1" applyFill="1" applyAlignment="1">
      <alignment horizontal="center"/>
    </xf>
    <xf numFmtId="0" fontId="2" fillId="8" borderId="0" xfId="0" applyFont="1" applyFill="1"/>
    <xf numFmtId="0" fontId="9" fillId="2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2" fillId="2" borderId="0" xfId="0" applyFont="1" applyFill="1"/>
    <xf numFmtId="0" fontId="5" fillId="9" borderId="1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left" vertical="center"/>
    </xf>
    <xf numFmtId="0" fontId="2" fillId="9" borderId="2" xfId="0" applyFont="1" applyFill="1" applyBorder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carteira_fii!$C$35</c:f>
              <c:strCache>
                <c:ptCount val="1"/>
                <c:pt idx="0">
                  <c:v>Porcentual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76-46C1-9D40-3B5487D939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CC76-46C1-9D40-3B5487D939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carteira_fii!$B$36:$B$41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carteira_fii!$C$36:$C$41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76-46C1-9D40-3B5487D939E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627230</xdr:colOff>
      <xdr:row>44</xdr:row>
      <xdr:rowOff>148347</xdr:rowOff>
    </xdr:from>
    <xdr:to>
      <xdr:col>3</xdr:col>
      <xdr:colOff>1146039</xdr:colOff>
      <xdr:row>59</xdr:row>
      <xdr:rowOff>3648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C209C2C-C488-E85E-4F32-0CD3C81816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415452</xdr:colOff>
      <xdr:row>0</xdr:row>
      <xdr:rowOff>182394</xdr:rowOff>
    </xdr:from>
    <xdr:to>
      <xdr:col>4</xdr:col>
      <xdr:colOff>466118</xdr:colOff>
      <xdr:row>8</xdr:row>
      <xdr:rowOff>118233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C3771340-1388-8642-13CA-89131561D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452" y="182394"/>
          <a:ext cx="6485107" cy="14760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948C-EAAB-4FC4-A427-69121AF640EB}">
  <dimension ref="A1:G69"/>
  <sheetViews>
    <sheetView showGridLines="0" tabSelected="1" zoomScale="94" workbookViewId="0">
      <selection activeCell="B37" sqref="B37"/>
    </sheetView>
  </sheetViews>
  <sheetFormatPr defaultColWidth="0" defaultRowHeight="15" zeroHeight="1" x14ac:dyDescent="0.25"/>
  <cols>
    <col min="1" max="1" width="9.140625" customWidth="1"/>
    <col min="2" max="2" width="41.28515625" customWidth="1"/>
    <col min="3" max="3" width="19.42578125" customWidth="1"/>
    <col min="4" max="4" width="26.5703125" customWidth="1"/>
    <col min="5" max="5" width="12.7109375" customWidth="1"/>
    <col min="6" max="6" width="16.85546875" hidden="1" customWidth="1"/>
    <col min="7" max="10" width="9.140625" hidden="1" customWidth="1"/>
    <col min="11" max="16384" width="9.140625" hidden="1"/>
  </cols>
  <sheetData>
    <row r="1" spans="2:4" x14ac:dyDescent="0.25"/>
    <row r="2" spans="2:4" x14ac:dyDescent="0.25"/>
    <row r="3" spans="2:4" x14ac:dyDescent="0.25"/>
    <row r="4" spans="2:4" x14ac:dyDescent="0.25"/>
    <row r="5" spans="2:4" x14ac:dyDescent="0.25"/>
    <row r="6" spans="2:4" x14ac:dyDescent="0.25"/>
    <row r="7" spans="2:4" x14ac:dyDescent="0.25"/>
    <row r="8" spans="2:4" x14ac:dyDescent="0.25"/>
    <row r="9" spans="2:4" x14ac:dyDescent="0.25"/>
    <row r="10" spans="2:4" ht="15.75" thickBot="1" x14ac:dyDescent="0.3"/>
    <row r="11" spans="2:4" ht="17.25" x14ac:dyDescent="0.25">
      <c r="B11" s="52" t="s">
        <v>14</v>
      </c>
      <c r="C11" s="53"/>
      <c r="D11" s="54"/>
    </row>
    <row r="12" spans="2:4" x14ac:dyDescent="0.25">
      <c r="B12" s="28" t="s">
        <v>13</v>
      </c>
      <c r="C12" s="29"/>
      <c r="D12" s="30">
        <v>5000</v>
      </c>
    </row>
    <row r="13" spans="2:4" x14ac:dyDescent="0.25">
      <c r="B13" s="31" t="s">
        <v>12</v>
      </c>
      <c r="C13" s="32"/>
      <c r="D13" s="33">
        <v>6.0000000000000001E-3</v>
      </c>
    </row>
    <row r="14" spans="2:4" ht="15.75" thickBot="1" x14ac:dyDescent="0.3">
      <c r="B14" s="34" t="s">
        <v>31</v>
      </c>
      <c r="C14" s="35"/>
      <c r="D14" s="36">
        <f>Salário*30%</f>
        <v>1500</v>
      </c>
    </row>
    <row r="15" spans="2:4" ht="15.75" thickBot="1" x14ac:dyDescent="0.3"/>
    <row r="16" spans="2:4" ht="29.25" customHeight="1" x14ac:dyDescent="0.25">
      <c r="B16" s="56" t="s">
        <v>1</v>
      </c>
      <c r="C16" s="57"/>
      <c r="D16" s="58"/>
    </row>
    <row r="17" spans="1:7" ht="17.25" x14ac:dyDescent="0.3">
      <c r="B17" s="15" t="s">
        <v>32</v>
      </c>
      <c r="C17" s="16"/>
      <c r="D17" s="17">
        <v>500</v>
      </c>
    </row>
    <row r="18" spans="1:7" ht="17.25" x14ac:dyDescent="0.3">
      <c r="B18" s="18" t="s">
        <v>0</v>
      </c>
      <c r="C18" s="19"/>
      <c r="D18" s="20">
        <v>5</v>
      </c>
      <c r="G18" s="4"/>
    </row>
    <row r="19" spans="1:7" ht="17.25" x14ac:dyDescent="0.3">
      <c r="B19" s="18" t="s">
        <v>2</v>
      </c>
      <c r="C19" s="19"/>
      <c r="D19" s="21">
        <v>1.0789999999999999E-2</v>
      </c>
    </row>
    <row r="20" spans="1:7" ht="17.25" x14ac:dyDescent="0.3">
      <c r="B20" s="22" t="s">
        <v>3</v>
      </c>
      <c r="C20" s="23"/>
      <c r="D20" s="24">
        <f>FV(taxa_mensal,Qtd_anos*12,Aporte*-1)</f>
        <v>41888.456999243819</v>
      </c>
    </row>
    <row r="21" spans="1:7" ht="18" thickBot="1" x14ac:dyDescent="0.35">
      <c r="B21" s="25" t="s">
        <v>4</v>
      </c>
      <c r="C21" s="26"/>
      <c r="D21" s="27">
        <f>patrimonio*Rendimento_carteira</f>
        <v>251.33074199546292</v>
      </c>
    </row>
    <row r="22" spans="1:7" ht="15.75" thickBot="1" x14ac:dyDescent="0.3">
      <c r="B22" s="9"/>
      <c r="C22" s="9"/>
    </row>
    <row r="23" spans="1:7" ht="25.5" customHeight="1" x14ac:dyDescent="0.25">
      <c r="B23" s="56" t="s">
        <v>10</v>
      </c>
      <c r="C23" s="57"/>
      <c r="D23" s="59" t="s">
        <v>11</v>
      </c>
    </row>
    <row r="24" spans="1:7" x14ac:dyDescent="0.25">
      <c r="A24" s="3">
        <v>2</v>
      </c>
      <c r="B24" s="12" t="s">
        <v>9</v>
      </c>
      <c r="C24" s="13">
        <f>FV($D$19,$A24*12,$D$17*-1)</f>
        <v>13613.813648822608</v>
      </c>
      <c r="D24" s="14">
        <f>C24*Rendimento_carteira</f>
        <v>81.682881892935654</v>
      </c>
    </row>
    <row r="25" spans="1:7" x14ac:dyDescent="0.25">
      <c r="A25" s="3">
        <v>5</v>
      </c>
      <c r="B25" s="10" t="s">
        <v>8</v>
      </c>
      <c r="C25" s="5">
        <f>FV($D$19,$A25*12,$D$17*-1)</f>
        <v>41888.456999243819</v>
      </c>
      <c r="D25" s="6">
        <f>C25*Rendimento_carteira</f>
        <v>251.33074199546292</v>
      </c>
    </row>
    <row r="26" spans="1:7" x14ac:dyDescent="0.25">
      <c r="A26" s="3">
        <v>10</v>
      </c>
      <c r="B26" s="10" t="s">
        <v>7</v>
      </c>
      <c r="C26" s="5">
        <f>FV($D$19,$A26*12,$D$17*-1)</f>
        <v>121642.1062650861</v>
      </c>
      <c r="D26" s="6">
        <f>C26*Rendimento_carteira</f>
        <v>729.85263759051657</v>
      </c>
    </row>
    <row r="27" spans="1:7" x14ac:dyDescent="0.25">
      <c r="A27" s="3">
        <v>20</v>
      </c>
      <c r="B27" s="10" t="s">
        <v>6</v>
      </c>
      <c r="C27" s="5">
        <f>FV($D$19,$A27*12,$D$17*-1)</f>
        <v>562599.20004854025</v>
      </c>
      <c r="D27" s="6">
        <f>C27*Rendimento_carteira</f>
        <v>3375.5952002912418</v>
      </c>
    </row>
    <row r="28" spans="1:7" ht="15.75" thickBot="1" x14ac:dyDescent="0.3">
      <c r="A28" s="3">
        <v>30</v>
      </c>
      <c r="B28" s="11" t="s">
        <v>5</v>
      </c>
      <c r="C28" s="7">
        <f>FV($D$19,$A28*12,$D$17*-1)</f>
        <v>2161084.8275023573</v>
      </c>
      <c r="D28" s="8">
        <f>C28*Rendimento_carteira</f>
        <v>12966.508965014144</v>
      </c>
    </row>
    <row r="29" spans="1:7" x14ac:dyDescent="0.25"/>
    <row r="30" spans="1:7" x14ac:dyDescent="0.25"/>
    <row r="31" spans="1:7" x14ac:dyDescent="0.25"/>
    <row r="32" spans="1:7" x14ac:dyDescent="0.25">
      <c r="B32" s="55" t="s">
        <v>16</v>
      </c>
      <c r="C32" s="2" t="s">
        <v>26</v>
      </c>
      <c r="D32" s="1"/>
    </row>
    <row r="33" spans="2:4" x14ac:dyDescent="0.25">
      <c r="B33" s="44" t="s">
        <v>33</v>
      </c>
      <c r="C33" s="50">
        <v>1500</v>
      </c>
      <c r="D33" s="45"/>
    </row>
    <row r="34" spans="2:4" x14ac:dyDescent="0.25"/>
    <row r="35" spans="2:4" x14ac:dyDescent="0.25">
      <c r="B35" s="39" t="s">
        <v>17</v>
      </c>
      <c r="C35" s="40" t="s">
        <v>18</v>
      </c>
      <c r="D35" s="41" t="s">
        <v>19</v>
      </c>
    </row>
    <row r="36" spans="2:4" x14ac:dyDescent="0.25">
      <c r="B36" t="s">
        <v>20</v>
      </c>
      <c r="C36" s="38">
        <f>VLOOKUP($C$32&amp;"-"&amp;B36,Apoio!$A:$D,4,FALSE)</f>
        <v>0.3</v>
      </c>
      <c r="D36" s="49">
        <f>C36*$C$33</f>
        <v>450</v>
      </c>
    </row>
    <row r="37" spans="2:4" x14ac:dyDescent="0.25">
      <c r="B37" t="s">
        <v>21</v>
      </c>
      <c r="C37" s="38">
        <f>VLOOKUP($C$32&amp;"-"&amp;B37,Apoio!$A:$D,4,FALSE)</f>
        <v>0.5</v>
      </c>
      <c r="D37" s="49">
        <f t="shared" ref="D37:D41" si="0">C37*$C$33</f>
        <v>750</v>
      </c>
    </row>
    <row r="38" spans="2:4" x14ac:dyDescent="0.25">
      <c r="B38" t="s">
        <v>22</v>
      </c>
      <c r="C38" s="38">
        <f>VLOOKUP($C$32&amp;"-"&amp;B38,Apoio!$A:$D,4,FALSE)</f>
        <v>0.1</v>
      </c>
      <c r="D38" s="49">
        <f t="shared" si="0"/>
        <v>150</v>
      </c>
    </row>
    <row r="39" spans="2:4" x14ac:dyDescent="0.25">
      <c r="B39" t="s">
        <v>23</v>
      </c>
      <c r="C39" s="38">
        <f>VLOOKUP($C$32&amp;"-"&amp;B39,Apoio!$A:$D,4,FALSE)</f>
        <v>0.1</v>
      </c>
      <c r="D39" s="49">
        <f t="shared" si="0"/>
        <v>150</v>
      </c>
    </row>
    <row r="40" spans="2:4" x14ac:dyDescent="0.25">
      <c r="B40" t="s">
        <v>24</v>
      </c>
      <c r="C40" s="38">
        <f>VLOOKUP($C$32&amp;"-"&amp;B40,Apoio!$A:$D,4,FALSE)</f>
        <v>0</v>
      </c>
      <c r="D40" s="49">
        <f t="shared" si="0"/>
        <v>0</v>
      </c>
    </row>
    <row r="41" spans="2:4" x14ac:dyDescent="0.25">
      <c r="B41" t="s">
        <v>25</v>
      </c>
      <c r="C41" s="38">
        <f>VLOOKUP($C$32&amp;"-"&amp;B41,Apoio!$A:$D,4,FALSE)</f>
        <v>0</v>
      </c>
      <c r="D41" s="49">
        <f t="shared" si="0"/>
        <v>0</v>
      </c>
    </row>
    <row r="42" spans="2:4" x14ac:dyDescent="0.25">
      <c r="B42" s="42"/>
      <c r="C42" s="42"/>
      <c r="D42" s="43">
        <f>SUM(D36:D41)</f>
        <v>1500</v>
      </c>
    </row>
    <row r="43" spans="2:4" x14ac:dyDescent="0.25"/>
    <row r="44" spans="2:4" x14ac:dyDescent="0.25"/>
    <row r="45" spans="2:4" x14ac:dyDescent="0.25"/>
    <row r="46" spans="2:4" x14ac:dyDescent="0.25"/>
    <row r="47" spans="2:4" x14ac:dyDescent="0.25"/>
    <row r="48" spans="2:4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</sheetData>
  <mergeCells count="11">
    <mergeCell ref="B21:C21"/>
    <mergeCell ref="B11:C11"/>
    <mergeCell ref="B12:C12"/>
    <mergeCell ref="B13:C13"/>
    <mergeCell ref="B14:C14"/>
    <mergeCell ref="B23:C23"/>
    <mergeCell ref="B16:C16"/>
    <mergeCell ref="B17:C17"/>
    <mergeCell ref="B18:C18"/>
    <mergeCell ref="B19:C19"/>
    <mergeCell ref="B20:C20"/>
  </mergeCells>
  <dataValidations count="1">
    <dataValidation type="list" allowBlank="1" showInputMessage="1" showErrorMessage="1" sqref="C32" xr:uid="{9EB46257-3DDE-4EA5-84B9-D8B9F418580B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C0B62-0699-41FC-9E1E-0D188149DA47}">
  <dimension ref="A2:H20"/>
  <sheetViews>
    <sheetView workbookViewId="0">
      <selection activeCell="B9" sqref="B9"/>
    </sheetView>
  </sheetViews>
  <sheetFormatPr defaultRowHeight="15" x14ac:dyDescent="0.25"/>
  <cols>
    <col min="1" max="1" width="30.85546875" bestFit="1" customWidth="1"/>
    <col min="2" max="2" width="12.140625" bestFit="1" customWidth="1"/>
    <col min="3" max="3" width="18.5703125" bestFit="1" customWidth="1"/>
    <col min="7" max="7" width="16.85546875" bestFit="1" customWidth="1"/>
  </cols>
  <sheetData>
    <row r="2" spans="1:8" x14ac:dyDescent="0.25">
      <c r="A2" s="51" t="s">
        <v>28</v>
      </c>
      <c r="B2" s="51" t="s">
        <v>16</v>
      </c>
      <c r="C2" s="51" t="s">
        <v>17</v>
      </c>
      <c r="D2" s="51" t="s">
        <v>27</v>
      </c>
    </row>
    <row r="3" spans="1:8" x14ac:dyDescent="0.25">
      <c r="A3" t="str">
        <f>B3&amp;"-"&amp;C3</f>
        <v>Conservador-PAPEL</v>
      </c>
      <c r="B3" t="s">
        <v>26</v>
      </c>
      <c r="C3" t="s">
        <v>20</v>
      </c>
      <c r="D3" s="38">
        <v>0.3</v>
      </c>
      <c r="H3" t="s">
        <v>27</v>
      </c>
    </row>
    <row r="4" spans="1:8" x14ac:dyDescent="0.25">
      <c r="A4" t="str">
        <f t="shared" ref="A4:A20" si="0">B4&amp;"-"&amp;C4</f>
        <v>Conservador-TIJOLO</v>
      </c>
      <c r="B4" t="s">
        <v>26</v>
      </c>
      <c r="C4" t="s">
        <v>21</v>
      </c>
      <c r="D4" s="38">
        <v>0.5</v>
      </c>
      <c r="G4" s="37" t="s">
        <v>30</v>
      </c>
      <c r="H4" s="48">
        <f>VLOOKUP(G4,$A:$D,4,FALSE)</f>
        <v>0.35</v>
      </c>
    </row>
    <row r="5" spans="1:8" x14ac:dyDescent="0.25">
      <c r="A5" t="str">
        <f t="shared" si="0"/>
        <v>Conservador-HÍBRIDOS</v>
      </c>
      <c r="B5" t="s">
        <v>26</v>
      </c>
      <c r="C5" t="s">
        <v>22</v>
      </c>
      <c r="D5" s="38">
        <v>0.1</v>
      </c>
    </row>
    <row r="6" spans="1:8" x14ac:dyDescent="0.25">
      <c r="A6" t="str">
        <f t="shared" si="0"/>
        <v>Conservador-FOFs</v>
      </c>
      <c r="B6" t="s">
        <v>26</v>
      </c>
      <c r="C6" t="s">
        <v>23</v>
      </c>
      <c r="D6" s="38">
        <v>0.1</v>
      </c>
    </row>
    <row r="7" spans="1:8" x14ac:dyDescent="0.25">
      <c r="A7" t="str">
        <f t="shared" si="0"/>
        <v>Conservador-DESENVOLVIMENTO</v>
      </c>
      <c r="B7" t="s">
        <v>26</v>
      </c>
      <c r="C7" t="s">
        <v>24</v>
      </c>
      <c r="D7" s="38">
        <v>0</v>
      </c>
    </row>
    <row r="8" spans="1:8" x14ac:dyDescent="0.25">
      <c r="A8" s="46" t="str">
        <f t="shared" si="0"/>
        <v>Conservador-HOTELARIAS</v>
      </c>
      <c r="B8" s="46" t="s">
        <v>26</v>
      </c>
      <c r="C8" s="46" t="s">
        <v>25</v>
      </c>
      <c r="D8" s="47">
        <v>0</v>
      </c>
    </row>
    <row r="9" spans="1:8" x14ac:dyDescent="0.25">
      <c r="A9" t="str">
        <f t="shared" si="0"/>
        <v>Moderado-PAPEL</v>
      </c>
      <c r="B9" t="s">
        <v>29</v>
      </c>
      <c r="C9" t="s">
        <v>20</v>
      </c>
      <c r="D9" s="38">
        <v>0.32</v>
      </c>
    </row>
    <row r="10" spans="1:8" x14ac:dyDescent="0.25">
      <c r="A10" t="str">
        <f t="shared" si="0"/>
        <v>Moderado-TIJOLO</v>
      </c>
      <c r="B10" t="s">
        <v>29</v>
      </c>
      <c r="C10" t="s">
        <v>21</v>
      </c>
      <c r="D10" s="38">
        <v>0.35</v>
      </c>
    </row>
    <row r="11" spans="1:8" x14ac:dyDescent="0.25">
      <c r="A11" t="str">
        <f t="shared" si="0"/>
        <v>Moderado-HÍBRIDOS</v>
      </c>
      <c r="B11" t="s">
        <v>29</v>
      </c>
      <c r="C11" t="s">
        <v>22</v>
      </c>
      <c r="D11" s="38">
        <v>0.08</v>
      </c>
    </row>
    <row r="12" spans="1:8" x14ac:dyDescent="0.25">
      <c r="A12" t="str">
        <f t="shared" si="0"/>
        <v>Moderado-FOFs</v>
      </c>
      <c r="B12" t="s">
        <v>29</v>
      </c>
      <c r="C12" t="s">
        <v>23</v>
      </c>
      <c r="D12" s="38">
        <v>0.05</v>
      </c>
    </row>
    <row r="13" spans="1:8" x14ac:dyDescent="0.25">
      <c r="A13" t="str">
        <f t="shared" si="0"/>
        <v>Moderado-DESENVOLVIMENTO</v>
      </c>
      <c r="B13" t="s">
        <v>29</v>
      </c>
      <c r="C13" t="s">
        <v>24</v>
      </c>
      <c r="D13" s="38">
        <v>0.1</v>
      </c>
    </row>
    <row r="14" spans="1:8" x14ac:dyDescent="0.25">
      <c r="A14" s="46" t="str">
        <f t="shared" si="0"/>
        <v>Moderado-HOTELARIAS</v>
      </c>
      <c r="B14" s="46" t="s">
        <v>29</v>
      </c>
      <c r="C14" s="46" t="s">
        <v>25</v>
      </c>
      <c r="D14" s="47">
        <v>0.1</v>
      </c>
    </row>
    <row r="15" spans="1:8" x14ac:dyDescent="0.25">
      <c r="A15" t="str">
        <f t="shared" si="0"/>
        <v>Agressivo-PAPEL</v>
      </c>
      <c r="B15" t="s">
        <v>15</v>
      </c>
      <c r="C15" t="s">
        <v>20</v>
      </c>
      <c r="D15" s="38">
        <v>0.5</v>
      </c>
    </row>
    <row r="16" spans="1:8" x14ac:dyDescent="0.25">
      <c r="A16" t="str">
        <f t="shared" si="0"/>
        <v>Agressivo-TIJOLO</v>
      </c>
      <c r="B16" t="s">
        <v>15</v>
      </c>
      <c r="C16" t="s">
        <v>21</v>
      </c>
      <c r="D16" s="38">
        <v>0.1</v>
      </c>
    </row>
    <row r="17" spans="1:4" x14ac:dyDescent="0.25">
      <c r="A17" t="str">
        <f t="shared" si="0"/>
        <v>Agressivo-HÍBRIDOS</v>
      </c>
      <c r="B17" t="s">
        <v>15</v>
      </c>
      <c r="C17" t="s">
        <v>22</v>
      </c>
      <c r="D17" s="38">
        <v>0.05</v>
      </c>
    </row>
    <row r="18" spans="1:4" x14ac:dyDescent="0.25">
      <c r="A18" t="str">
        <f t="shared" si="0"/>
        <v>Agressivo-FOFs</v>
      </c>
      <c r="B18" t="s">
        <v>15</v>
      </c>
      <c r="C18" t="s">
        <v>23</v>
      </c>
      <c r="D18" s="38">
        <v>0.05</v>
      </c>
    </row>
    <row r="19" spans="1:4" x14ac:dyDescent="0.25">
      <c r="A19" t="str">
        <f t="shared" si="0"/>
        <v>Agressivo-DESENVOLVIMENTO</v>
      </c>
      <c r="B19" t="s">
        <v>15</v>
      </c>
      <c r="C19" t="s">
        <v>24</v>
      </c>
      <c r="D19" s="38">
        <v>0.2</v>
      </c>
    </row>
    <row r="20" spans="1:4" x14ac:dyDescent="0.25">
      <c r="A20" s="46" t="str">
        <f t="shared" si="0"/>
        <v>Agressivo-HOTELARIAS</v>
      </c>
      <c r="B20" s="46" t="s">
        <v>15</v>
      </c>
      <c r="C20" s="46" t="s">
        <v>25</v>
      </c>
      <c r="D20" s="47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carteira_fii</vt:lpstr>
      <vt:lpstr>Apoio</vt:lpstr>
      <vt:lpstr>Aporte</vt:lpstr>
      <vt:lpstr>patrimonio</vt:lpstr>
      <vt:lpstr>Qtd_anos</vt:lpstr>
      <vt:lpstr>Rendimento_carteira</vt:lpstr>
      <vt:lpstr>Salário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Joernis Oliveros</dc:creator>
  <cp:lastModifiedBy>Joernis Oliveros</cp:lastModifiedBy>
  <dcterms:created xsi:type="dcterms:W3CDTF">2026-09-29T17:22:03Z</dcterms:created>
  <dcterms:modified xsi:type="dcterms:W3CDTF">2026-10-02T23:09:33Z</dcterms:modified>
</cp:coreProperties>
</file>